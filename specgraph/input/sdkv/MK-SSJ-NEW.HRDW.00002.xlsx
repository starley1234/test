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AHO~1\AppData\Local\Temp\tc_marahovskyav_0_1783317429675\"/>
    </mc:Choice>
  </mc:AlternateContent>
  <xr:revisionPtr revIDLastSave="0" documentId="13_ncr:1_{B61874D6-119E-438C-9579-04BB7770F189}" xr6:coauthVersionLast="47" xr6:coauthVersionMax="47" xr10:uidLastSave="{00000000-0000-0000-0000-000000000000}"/>
  <bookViews>
    <workbookView xWindow="-120" yWindow="-120" windowWidth="29040" windowHeight="15840" xr2:uid="{A15DDFD3-B030-40C5-ACF5-43DA929831DA}"/>
  </bookViews>
  <sheets>
    <sheet name="Преобразователи электропитаний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7" i="5" l="1"/>
  <c r="M76" i="5"/>
  <c r="I33" i="5"/>
  <c r="I32" i="5"/>
  <c r="I31" i="5"/>
  <c r="I83" i="5"/>
  <c r="I76" i="5"/>
  <c r="C76" i="5" s="1"/>
  <c r="H77" i="5"/>
  <c r="C77" i="5" s="1"/>
  <c r="E7" i="5"/>
  <c r="R7" i="5"/>
  <c r="Q9" i="5"/>
  <c r="Q10" i="5"/>
  <c r="Q11" i="5"/>
  <c r="Q12" i="5"/>
  <c r="Q14" i="5"/>
  <c r="Q15" i="5"/>
  <c r="Q16" i="5"/>
  <c r="Q17" i="5"/>
  <c r="Q18" i="5"/>
  <c r="Q19" i="5"/>
  <c r="E20" i="5"/>
  <c r="T20" i="5"/>
  <c r="E21" i="5"/>
  <c r="F22" i="5"/>
  <c r="S22" i="5"/>
  <c r="F23" i="5"/>
  <c r="S23" i="5"/>
  <c r="D24" i="5"/>
  <c r="D81" i="5" s="1"/>
  <c r="E24" i="5"/>
  <c r="E25" i="5"/>
  <c r="M25" i="5"/>
  <c r="E26" i="5"/>
  <c r="E80" i="5" s="1"/>
  <c r="E28" i="5"/>
  <c r="E29" i="5"/>
  <c r="O30" i="5"/>
  <c r="E31" i="5"/>
  <c r="E32" i="5"/>
  <c r="E33" i="5"/>
  <c r="F34" i="5"/>
  <c r="S34" i="5"/>
  <c r="F35" i="5"/>
  <c r="S35" i="5"/>
  <c r="F36" i="5"/>
  <c r="S36" i="5"/>
  <c r="F37" i="5"/>
  <c r="S37" i="5"/>
  <c r="F38" i="5"/>
  <c r="S38" i="5"/>
  <c r="F39" i="5"/>
  <c r="S39" i="5"/>
  <c r="F40" i="5"/>
  <c r="S40" i="5"/>
  <c r="F41" i="5"/>
  <c r="S41" i="5"/>
  <c r="E43" i="5"/>
  <c r="M43" i="5"/>
  <c r="E44" i="5"/>
  <c r="M44" i="5"/>
  <c r="J45" i="5"/>
  <c r="N45" i="5"/>
  <c r="K46" i="5"/>
  <c r="L47" i="5"/>
  <c r="L68" i="5" s="1"/>
  <c r="O47" i="5"/>
  <c r="K48" i="5"/>
  <c r="K49" i="5"/>
  <c r="K50" i="5"/>
  <c r="P51" i="5"/>
  <c r="E52" i="5"/>
  <c r="K53" i="5"/>
  <c r="K54" i="5"/>
  <c r="K55" i="5"/>
  <c r="G56" i="5"/>
  <c r="G78" i="5" s="1"/>
  <c r="E57" i="5"/>
  <c r="K57" i="5"/>
  <c r="F58" i="5"/>
  <c r="F59" i="5"/>
  <c r="C60" i="5"/>
  <c r="T60" i="5"/>
  <c r="R62" i="5"/>
  <c r="C62" i="5" s="1"/>
  <c r="P64" i="5"/>
  <c r="C64" i="5" s="1"/>
  <c r="O70" i="5"/>
  <c r="O71" i="5"/>
  <c r="O72" i="5"/>
  <c r="J73" i="5"/>
  <c r="C73" i="5" s="1"/>
  <c r="N74" i="5"/>
  <c r="M75" i="5"/>
  <c r="E81" i="5"/>
  <c r="N73" i="5" l="1"/>
  <c r="C68" i="5"/>
  <c r="O68" i="5"/>
  <c r="M81" i="5"/>
  <c r="C81" i="5"/>
  <c r="C78" i="5"/>
  <c r="M78" i="5"/>
  <c r="K69" i="5"/>
  <c r="O69" i="5" s="1"/>
  <c r="O65" i="5" s="1"/>
  <c r="F79" i="5"/>
  <c r="M79" i="5" s="1"/>
  <c r="Q64" i="5"/>
  <c r="Q63" i="5" s="1"/>
  <c r="N66" i="5"/>
  <c r="M80" i="5"/>
  <c r="C80" i="5"/>
  <c r="C66" i="5"/>
  <c r="S66" i="5"/>
  <c r="S62" i="5"/>
  <c r="M67" i="5" l="1"/>
  <c r="C67" i="5" s="1"/>
  <c r="C63" i="5"/>
  <c r="S63" i="5"/>
  <c r="C69" i="5"/>
  <c r="C79" i="5"/>
  <c r="C65" i="5"/>
  <c r="S65" i="5"/>
  <c r="S67" i="5" l="1"/>
  <c r="S61" i="5" s="1"/>
  <c r="C61" i="5" s="1"/>
</calcChain>
</file>

<file path=xl/sharedStrings.xml><?xml version="1.0" encoding="utf-8"?>
<sst xmlns="http://schemas.openxmlformats.org/spreadsheetml/2006/main" count="103" uniqueCount="89">
  <si>
    <t>№</t>
  </si>
  <si>
    <t>Блок управления МК</t>
  </si>
  <si>
    <t>1.1 Узел синфазного фильтра</t>
  </si>
  <si>
    <t>1.2 Узел дифференциального фильтра</t>
  </si>
  <si>
    <t>1.3 Узел предзаряда</t>
  </si>
  <si>
    <t>1.4 Узел драйвера предзаряда</t>
  </si>
  <si>
    <t>1.5 Узел выпрямителя</t>
  </si>
  <si>
    <t>1.6 Узел драйвера выпрямителя</t>
  </si>
  <si>
    <t>1.7 Узел драйвера выпрямителя</t>
  </si>
  <si>
    <t>1.8 Узел драйвера выпрямителя</t>
  </si>
  <si>
    <t>1.9 Узел драйвера выпрямителя</t>
  </si>
  <si>
    <t>1.10 Узел инвертора</t>
  </si>
  <si>
    <t>1.11 Узел драйвера инвертора</t>
  </si>
  <si>
    <t>1.12 Узел драйвера инвертора</t>
  </si>
  <si>
    <t>1.13 Узел драйвера инвертора</t>
  </si>
  <si>
    <t>1.14 Узел драйвера инвертора</t>
  </si>
  <si>
    <t>1.15 Узел драйвера инвертора</t>
  </si>
  <si>
    <t>1.16 Узел драйвера инвертора</t>
  </si>
  <si>
    <t>1.17 Узел коммутатора электропитания</t>
  </si>
  <si>
    <t>1.18 Узел коммутатора электропитания</t>
  </si>
  <si>
    <t>1.19 Узел коммутатора РК</t>
  </si>
  <si>
    <t>1.20 Узел коммутатора РК</t>
  </si>
  <si>
    <t>2.1 Узел микроконтроллерный (МК)</t>
  </si>
  <si>
    <t>2.2 Узел приемопередатчика ARINC 825</t>
  </si>
  <si>
    <t>2.3 Узел приемопередатчика RS422</t>
  </si>
  <si>
    <t>2.4 Узел тактирования</t>
  </si>
  <si>
    <t>2.5 Узел ПЗУ</t>
  </si>
  <si>
    <t>2.6 Узел JTAG</t>
  </si>
  <si>
    <t>2.7 Узел преобразования сигналов</t>
  </si>
  <si>
    <t>2.8 Узел детектирования сигнала</t>
  </si>
  <si>
    <t>2.9 Узел детектирования сигнала</t>
  </si>
  <si>
    <t>2.10 Узел детектирования сигнала</t>
  </si>
  <si>
    <t>2.11 Узел детектирования сигнала РК</t>
  </si>
  <si>
    <t>2.12 Узел детектирования сигнала РК</t>
  </si>
  <si>
    <t>2.13 Узел детектирования сигнала РК</t>
  </si>
  <si>
    <t>2.14 Узел детектирования сигнала РК</t>
  </si>
  <si>
    <t>2.15 Узел детектирования сигнала РК</t>
  </si>
  <si>
    <t>2.16 Узел детектирования сигнала РК</t>
  </si>
  <si>
    <t>2.17 Узел детектирования сигнала РК</t>
  </si>
  <si>
    <t>2.18 Узел детектирования сигнала РК</t>
  </si>
  <si>
    <t>2.19 Узел индикации функционирования</t>
  </si>
  <si>
    <t>2.20 Узел логики управления выпрямителем</t>
  </si>
  <si>
    <t>2.21 Узел логики управления инвертором</t>
  </si>
  <si>
    <t>3.1 Узел измерения напряжения</t>
  </si>
  <si>
    <t>3.2 Узел измерения тока</t>
  </si>
  <si>
    <t>3.3 Узел измерения напряжения</t>
  </si>
  <si>
    <t>3.4 Узел измерения тока</t>
  </si>
  <si>
    <t>3.5 Узел измерения тока</t>
  </si>
  <si>
    <t>3.6 Узел измерения тока</t>
  </si>
  <si>
    <t>3.7 Узел измерения тока</t>
  </si>
  <si>
    <t>3.8 Узел логики защиты по превышению тока</t>
  </si>
  <si>
    <t>3.9 Узел логики защиты по превышению входного тока</t>
  </si>
  <si>
    <t>3.10 Узел логики защиты по превышению выходного напряжения выпрямителя</t>
  </si>
  <si>
    <t>3.11 Узел логики защиты по превышению тока инвертора</t>
  </si>
  <si>
    <t>3.12 Узел измерения тока</t>
  </si>
  <si>
    <t>3.13 Узел логики защиты по превышению тока</t>
  </si>
  <si>
    <t>3.14 Узел логики защиты по превышению тока</t>
  </si>
  <si>
    <t>3.15 Узел логики защиты по превышению тока</t>
  </si>
  <si>
    <t>4.2 Узел изолированного преобразователя 15 В</t>
  </si>
  <si>
    <t>4.3 Узел преобразователя 15 В</t>
  </si>
  <si>
    <t>4.4 Узел преобразователя 5 В</t>
  </si>
  <si>
    <t>4.5 Узел изолированного преобразователя 5 В</t>
  </si>
  <si>
    <t>4.6 Узел изолированного преобразователя 5 В</t>
  </si>
  <si>
    <t>4.7 Узел изолированного преобразователя 5 В</t>
  </si>
  <si>
    <t>4.8 Узел изолированного преобразователя 5 В</t>
  </si>
  <si>
    <t>4.9 Узел преобразователя 3,3 В</t>
  </si>
  <si>
    <t>4.10 Узел опорного напряжения 3,3 В</t>
  </si>
  <si>
    <t>4.11 Узел опорного напряжения 3 В</t>
  </si>
  <si>
    <t>4.12 Узел опорного напряжения 2,5 В</t>
  </si>
  <si>
    <t>4.13 Узел изолированного преобразователя 5 В</t>
  </si>
  <si>
    <t>4.14 Узел опорного напряжения 1,5 В</t>
  </si>
  <si>
    <t>4.17 Узел изолированного преобразователя 5 В</t>
  </si>
  <si>
    <t>4.18 Узел преобразователя 3,3 В</t>
  </si>
  <si>
    <t>4.19 Узел преобразователя 3,3 В</t>
  </si>
  <si>
    <t>4.20 Узел преобразователя 1,2 В</t>
  </si>
  <si>
    <t>4.20 Узел преобразователя
1,2 В</t>
  </si>
  <si>
    <t>Потребители</t>
  </si>
  <si>
    <t>4.15 Узел опорного напряжения 3,3 В</t>
  </si>
  <si>
    <t>4.1 Узел изолированного преобразователя 24 В</t>
  </si>
  <si>
    <t>4.1 Узел изолированного преобразователя 32 В</t>
  </si>
  <si>
    <t>Энкодер ЛИР-ДА219А.01</t>
  </si>
  <si>
    <t xml:space="preserve">Функциональный узел </t>
  </si>
  <si>
    <t>Выходная мощность, Вт</t>
  </si>
  <si>
    <t>Нагрузка преобразователей электропитания (нагрузочная способность), А</t>
  </si>
  <si>
    <t>4.16 Узел изолированного преобразователя 5 В
(цепь 5V_D_RPS)</t>
  </si>
  <si>
    <t>4.16 Узел изолированного преобразователя 5 В
(цепь 5V_D_EN)</t>
  </si>
  <si>
    <t>4.16 Узел изолированного преобразователя 5 В (по цепи 5V_D_RPS)</t>
  </si>
  <si>
    <t>4.16 Узел изолированного преобразователя 5 В (по цепи 5V_D_EN)</t>
  </si>
  <si>
    <t>ДПР - микросхема на основе датчика Холла 1293KX015 (в составе ЭД АСДБ.04.44.3100.00.99)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</si>
</sst>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4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3" borderId="1" xfId="0" applyFill="1" applyBorder="1"/>
    <xf numFmtId="0" fontId="0" fillId="3" borderId="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3" borderId="3" xfId="0" applyFont="1" applyFill="1" applyBorder="1" applyAlignment="1">
      <alignment horizontal="justify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3E58-9A0C-4FC5-A3EF-C0D12B3D57DC}">
  <sheetPr>
    <pageSetUpPr fitToPage="1"/>
  </sheetPr>
  <dimension ref="A1:T84"/>
  <sheetViews>
    <sheetView tabSelected="1" zoomScale="85" zoomScaleNormal="85" workbookViewId="0">
      <pane xSplit="3" ySplit="3" topLeftCell="D52" activePane="bottomRight" state="frozen"/>
      <selection pane="topRight" activeCell="D1" sqref="D1"/>
      <selection pane="bottomLeft" activeCell="A4" sqref="A4"/>
      <selection pane="bottomRight" activeCell="G64" sqref="G64"/>
    </sheetView>
  </sheetViews>
  <sheetFormatPr defaultRowHeight="15" x14ac:dyDescent="0.25"/>
  <cols>
    <col min="2" max="2" width="84.5703125" customWidth="1"/>
    <col min="3" max="3" width="11.7109375" customWidth="1"/>
    <col min="4" max="4" width="11.7109375" style="1" customWidth="1"/>
    <col min="5" max="19" width="17.7109375" style="1" customWidth="1"/>
    <col min="20" max="20" width="17.7109375" customWidth="1"/>
  </cols>
  <sheetData>
    <row r="1" spans="1:20" ht="15.75" thickBot="1" x14ac:dyDescent="0.3"/>
    <row r="2" spans="1:20" ht="45.75" customHeight="1" thickBot="1" x14ac:dyDescent="0.3">
      <c r="A2" s="25" t="s">
        <v>0</v>
      </c>
      <c r="B2" s="8" t="s">
        <v>76</v>
      </c>
      <c r="C2" s="7" t="s">
        <v>82</v>
      </c>
      <c r="D2" s="29" t="s">
        <v>83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</row>
    <row r="3" spans="1:20" ht="75" customHeight="1" thickBot="1" x14ac:dyDescent="0.3">
      <c r="A3" s="6">
        <v>1</v>
      </c>
      <c r="B3" s="27" t="s">
        <v>81</v>
      </c>
      <c r="C3" s="4"/>
      <c r="D3" s="10" t="s">
        <v>75</v>
      </c>
      <c r="E3" s="11" t="s">
        <v>73</v>
      </c>
      <c r="F3" s="11" t="s">
        <v>72</v>
      </c>
      <c r="G3" s="11" t="s">
        <v>71</v>
      </c>
      <c r="H3" s="11" t="s">
        <v>85</v>
      </c>
      <c r="I3" s="11" t="s">
        <v>84</v>
      </c>
      <c r="J3" s="11" t="s">
        <v>69</v>
      </c>
      <c r="K3" s="11" t="s">
        <v>65</v>
      </c>
      <c r="L3" s="11" t="s">
        <v>64</v>
      </c>
      <c r="M3" s="11" t="s">
        <v>63</v>
      </c>
      <c r="N3" s="11" t="s">
        <v>62</v>
      </c>
      <c r="O3" s="11" t="s">
        <v>61</v>
      </c>
      <c r="P3" s="11" t="s">
        <v>60</v>
      </c>
      <c r="Q3" s="11" t="s">
        <v>59</v>
      </c>
      <c r="R3" s="11" t="s">
        <v>58</v>
      </c>
      <c r="S3" s="11" t="s">
        <v>78</v>
      </c>
      <c r="T3" s="11" t="s">
        <v>79</v>
      </c>
    </row>
    <row r="4" spans="1:20" s="2" customFormat="1" ht="15.75" thickBot="1" x14ac:dyDescent="0.3">
      <c r="A4" s="19">
        <v>2</v>
      </c>
      <c r="B4" s="28" t="s">
        <v>2</v>
      </c>
      <c r="C4" s="9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2"/>
    </row>
    <row r="5" spans="1:20" s="2" customFormat="1" ht="15.75" thickBot="1" x14ac:dyDescent="0.3">
      <c r="A5" s="19">
        <v>3</v>
      </c>
      <c r="B5" s="28" t="s">
        <v>3</v>
      </c>
      <c r="C5" s="9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</row>
    <row r="6" spans="1:20" s="2" customFormat="1" ht="15.75" thickBot="1" x14ac:dyDescent="0.3">
      <c r="A6" s="19">
        <v>4</v>
      </c>
      <c r="B6" s="28" t="s">
        <v>4</v>
      </c>
      <c r="C6" s="9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</row>
    <row r="7" spans="1:20" ht="15.75" thickBot="1" x14ac:dyDescent="0.3">
      <c r="A7" s="6">
        <v>5</v>
      </c>
      <c r="B7" s="27" t="s">
        <v>5</v>
      </c>
      <c r="C7" s="5"/>
      <c r="D7" s="12"/>
      <c r="E7" s="13">
        <f>_xlfn.CEILING.MATH((3.3*1.1-1.2)/440, 0.001)</f>
        <v>6.0000000000000001E-3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>
        <f>_xlfn.CEILING.MATH(0.003+(16/20000), 0.001)</f>
        <v>4.0000000000000001E-3</v>
      </c>
      <c r="S7" s="13"/>
      <c r="T7" s="14"/>
    </row>
    <row r="8" spans="1:20" s="2" customFormat="1" ht="15.75" thickBot="1" x14ac:dyDescent="0.3">
      <c r="A8" s="19">
        <v>6</v>
      </c>
      <c r="B8" s="9" t="s">
        <v>6</v>
      </c>
      <c r="C8" s="9"/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</row>
    <row r="9" spans="1:20" ht="15.75" thickBot="1" x14ac:dyDescent="0.3">
      <c r="A9" s="6">
        <v>7</v>
      </c>
      <c r="B9" s="5" t="s">
        <v>7</v>
      </c>
      <c r="C9" s="5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>
        <f>_xlfn.CEILING.MATH(0.003+16*(1/47000+1/(1/(2*PI()*32000*1.2*10^-9)))*2, 0.001)</f>
        <v>1.2E-2</v>
      </c>
      <c r="R9" s="13"/>
      <c r="S9" s="13"/>
      <c r="T9" s="14"/>
    </row>
    <row r="10" spans="1:20" ht="15.75" thickBot="1" x14ac:dyDescent="0.3">
      <c r="A10" s="6">
        <v>8</v>
      </c>
      <c r="B10" s="5" t="s">
        <v>8</v>
      </c>
      <c r="C10" s="5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>
        <f t="shared" ref="Q10:Q12" si="0">_xlfn.CEILING.MATH(0.003+16*(1/47000+1/(1/(2*PI()*32000*1.2*10^-9)))*2, 0.001)</f>
        <v>1.2E-2</v>
      </c>
      <c r="R10" s="13"/>
      <c r="S10" s="13"/>
      <c r="T10" s="14"/>
    </row>
    <row r="11" spans="1:20" ht="15.75" thickBot="1" x14ac:dyDescent="0.3">
      <c r="A11" s="6">
        <v>9</v>
      </c>
      <c r="B11" s="5" t="s">
        <v>9</v>
      </c>
      <c r="C11" s="5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>
        <f t="shared" si="0"/>
        <v>1.2E-2</v>
      </c>
      <c r="R11" s="13"/>
      <c r="S11" s="13"/>
      <c r="T11" s="14"/>
    </row>
    <row r="12" spans="1:20" ht="15.75" thickBot="1" x14ac:dyDescent="0.3">
      <c r="A12" s="6">
        <v>10</v>
      </c>
      <c r="B12" s="5" t="s">
        <v>10</v>
      </c>
      <c r="C12" s="5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>
        <f t="shared" si="0"/>
        <v>1.2E-2</v>
      </c>
      <c r="R12" s="13"/>
      <c r="S12" s="13"/>
      <c r="T12" s="14"/>
    </row>
    <row r="13" spans="1:20" s="2" customFormat="1" ht="15.75" thickBot="1" x14ac:dyDescent="0.3">
      <c r="A13" s="19">
        <v>11</v>
      </c>
      <c r="B13" s="9" t="s">
        <v>11</v>
      </c>
      <c r="C13" s="9"/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2"/>
    </row>
    <row r="14" spans="1:20" ht="15.75" thickBot="1" x14ac:dyDescent="0.3">
      <c r="A14" s="6">
        <v>12</v>
      </c>
      <c r="B14" s="5" t="s">
        <v>12</v>
      </c>
      <c r="C14" s="5"/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>
        <f t="shared" ref="Q14:Q19" si="1">_xlfn.CEILING.MATH(0.003+16*(1/47000+1/(1/(2*PI()*32000*1.2*10^-9)))*2, 0.001)</f>
        <v>1.2E-2</v>
      </c>
      <c r="R14" s="13"/>
      <c r="S14" s="13"/>
      <c r="T14" s="14"/>
    </row>
    <row r="15" spans="1:20" ht="15.75" thickBot="1" x14ac:dyDescent="0.3">
      <c r="A15" s="6">
        <v>13</v>
      </c>
      <c r="B15" s="5" t="s">
        <v>13</v>
      </c>
      <c r="C15" s="5"/>
      <c r="D15" s="1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>
        <f t="shared" si="1"/>
        <v>1.2E-2</v>
      </c>
      <c r="R15" s="13"/>
      <c r="S15" s="13"/>
      <c r="T15" s="14"/>
    </row>
    <row r="16" spans="1:20" ht="15.75" thickBot="1" x14ac:dyDescent="0.3">
      <c r="A16" s="6">
        <v>14</v>
      </c>
      <c r="B16" s="5" t="s">
        <v>14</v>
      </c>
      <c r="C16" s="5"/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>
        <f t="shared" si="1"/>
        <v>1.2E-2</v>
      </c>
      <c r="R16" s="13"/>
      <c r="S16" s="13"/>
      <c r="T16" s="14"/>
    </row>
    <row r="17" spans="1:20" ht="15.75" thickBot="1" x14ac:dyDescent="0.3">
      <c r="A17" s="6">
        <v>15</v>
      </c>
      <c r="B17" s="5" t="s">
        <v>15</v>
      </c>
      <c r="C17" s="5"/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>
        <f t="shared" si="1"/>
        <v>1.2E-2</v>
      </c>
      <c r="R17" s="13"/>
      <c r="S17" s="13"/>
      <c r="T17" s="14"/>
    </row>
    <row r="18" spans="1:20" ht="15.75" thickBot="1" x14ac:dyDescent="0.3">
      <c r="A18" s="6">
        <v>16</v>
      </c>
      <c r="B18" s="5" t="s">
        <v>16</v>
      </c>
      <c r="C18" s="5"/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>
        <f t="shared" si="1"/>
        <v>1.2E-2</v>
      </c>
      <c r="R18" s="13"/>
      <c r="S18" s="13"/>
      <c r="T18" s="14"/>
    </row>
    <row r="19" spans="1:20" ht="15.75" thickBot="1" x14ac:dyDescent="0.3">
      <c r="A19" s="6">
        <v>17</v>
      </c>
      <c r="B19" s="5" t="s">
        <v>17</v>
      </c>
      <c r="C19" s="5"/>
      <c r="D19" s="12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>
        <f t="shared" si="1"/>
        <v>1.2E-2</v>
      </c>
      <c r="R19" s="13"/>
      <c r="S19" s="13"/>
      <c r="T19" s="14"/>
    </row>
    <row r="20" spans="1:20" ht="15.75" thickBot="1" x14ac:dyDescent="0.3">
      <c r="A20" s="6">
        <v>18</v>
      </c>
      <c r="B20" s="5" t="s">
        <v>18</v>
      </c>
      <c r="C20" s="5"/>
      <c r="D20" s="12"/>
      <c r="E20" s="13">
        <f>_xlfn.CEILING.MATH(2*(3.6-1.2)/200+2*0.001, 0.001)</f>
        <v>2.6000000000000002E-2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3">
        <f>_xlfn.CEILING.MATH(33.5/552, 0.001)</f>
        <v>6.0999999999999999E-2</v>
      </c>
    </row>
    <row r="21" spans="1:20" ht="15.75" thickBot="1" x14ac:dyDescent="0.3">
      <c r="A21" s="6">
        <v>19</v>
      </c>
      <c r="B21" s="5" t="s">
        <v>19</v>
      </c>
      <c r="C21" s="5"/>
      <c r="D21" s="12"/>
      <c r="E21" s="13">
        <f>_xlfn.CEILING.MATH((3.6-1.2)/200+0.001, 0.001)</f>
        <v>1.3000000000000001E-2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>
        <v>0.8</v>
      </c>
      <c r="T21" s="14"/>
    </row>
    <row r="22" spans="1:20" ht="15.75" thickBot="1" x14ac:dyDescent="0.3">
      <c r="A22" s="6">
        <v>20</v>
      </c>
      <c r="B22" s="5" t="s">
        <v>20</v>
      </c>
      <c r="C22" s="5"/>
      <c r="D22" s="12"/>
      <c r="E22" s="13"/>
      <c r="F22" s="13">
        <f>_xlfn.CEILING.MATH((3.6-1.2)/200+0.001, 0.001)</f>
        <v>1.3000000000000001E-2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>
        <f>_xlfn.CEILING.MATH(25/5000+0.001, 0.001)</f>
        <v>6.0000000000000001E-3</v>
      </c>
      <c r="T22" s="13"/>
    </row>
    <row r="23" spans="1:20" ht="15.75" thickBot="1" x14ac:dyDescent="0.3">
      <c r="A23" s="6">
        <v>21</v>
      </c>
      <c r="B23" s="5" t="s">
        <v>21</v>
      </c>
      <c r="C23" s="5"/>
      <c r="D23" s="12"/>
      <c r="E23" s="13"/>
      <c r="F23" s="13">
        <f>_xlfn.CEILING.MATH((3.6-1.2)/200+0.001, 0.001)</f>
        <v>1.3000000000000001E-2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>
        <f>_xlfn.CEILING.MATH(25/5000+0.001, 0.001)</f>
        <v>6.0000000000000001E-3</v>
      </c>
      <c r="T23" s="13"/>
    </row>
    <row r="24" spans="1:20" ht="15.75" thickBot="1" x14ac:dyDescent="0.3">
      <c r="A24" s="6">
        <v>22</v>
      </c>
      <c r="B24" s="5" t="s">
        <v>22</v>
      </c>
      <c r="C24" s="5"/>
      <c r="D24" s="13">
        <f>_xlfn.CEILING.MATH(0.25, 0.001)</f>
        <v>0.25</v>
      </c>
      <c r="E24" s="13">
        <f>_xlfn.CEILING.MATH(0.029+4*(3.6-3)/100, 0.001)</f>
        <v>5.2999999999999999E-2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</row>
    <row r="25" spans="1:20" ht="15.75" thickBot="1" x14ac:dyDescent="0.3">
      <c r="A25" s="6">
        <v>23</v>
      </c>
      <c r="B25" s="5" t="s">
        <v>23</v>
      </c>
      <c r="C25" s="5"/>
      <c r="D25" s="12"/>
      <c r="E25" s="13">
        <f>_xlfn.CEILING.MATH(0.0025, 0.001)</f>
        <v>3.0000000000000001E-3</v>
      </c>
      <c r="F25" s="13"/>
      <c r="G25" s="13"/>
      <c r="H25" s="13"/>
      <c r="I25" s="13"/>
      <c r="J25" s="13"/>
      <c r="K25" s="13"/>
      <c r="L25" s="13"/>
      <c r="M25" s="18">
        <f>_xlfn.CEILING.MATH(0.17,0.001)</f>
        <v>0.17</v>
      </c>
      <c r="N25" s="13"/>
      <c r="O25" s="13"/>
      <c r="P25" s="13"/>
      <c r="Q25" s="13"/>
      <c r="R25" s="13"/>
      <c r="S25" s="13"/>
      <c r="T25" s="14"/>
    </row>
    <row r="26" spans="1:20" ht="15.75" thickBot="1" x14ac:dyDescent="0.3">
      <c r="A26" s="6">
        <v>24</v>
      </c>
      <c r="B26" s="5" t="s">
        <v>24</v>
      </c>
      <c r="C26" s="5"/>
      <c r="D26" s="12"/>
      <c r="E26" s="13">
        <f>_xlfn.CEILING.MATH(0.0022, 0.001)</f>
        <v>3.0000000000000001E-3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</row>
    <row r="27" spans="1:20" s="2" customFormat="1" ht="15.75" thickBot="1" x14ac:dyDescent="0.3">
      <c r="A27" s="19">
        <v>25</v>
      </c>
      <c r="B27" s="9" t="s">
        <v>25</v>
      </c>
      <c r="C27" s="9"/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2"/>
    </row>
    <row r="28" spans="1:20" ht="15.75" thickBot="1" x14ac:dyDescent="0.3">
      <c r="A28" s="6">
        <v>26</v>
      </c>
      <c r="B28" s="5" t="s">
        <v>26</v>
      </c>
      <c r="C28" s="5"/>
      <c r="D28" s="12"/>
      <c r="E28" s="13">
        <f>_xlfn.CEILING.MATH(0.003, 0.001)</f>
        <v>3.0000000000000001E-3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4"/>
    </row>
    <row r="29" spans="1:20" ht="15.75" thickBot="1" x14ac:dyDescent="0.3">
      <c r="A29" s="6">
        <v>27</v>
      </c>
      <c r="B29" s="5" t="s">
        <v>27</v>
      </c>
      <c r="C29" s="5"/>
      <c r="D29" s="12"/>
      <c r="E29" s="13">
        <f>_xlfn.CEILING.MATH(3*(3.6/4700),0.001)</f>
        <v>3.0000000000000001E-3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4"/>
    </row>
    <row r="30" spans="1:20" ht="15.75" thickBot="1" x14ac:dyDescent="0.3">
      <c r="A30" s="6">
        <v>28</v>
      </c>
      <c r="B30" s="5" t="s">
        <v>28</v>
      </c>
      <c r="C30" s="5"/>
      <c r="D30" s="1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>
        <f>_xlfn.CEILING.MATH(0.0014, 0.001)</f>
        <v>2E-3</v>
      </c>
      <c r="P30" s="13"/>
      <c r="Q30" s="13"/>
      <c r="R30" s="13"/>
      <c r="S30" s="13"/>
      <c r="T30" s="14"/>
    </row>
    <row r="31" spans="1:20" ht="15.75" thickBot="1" x14ac:dyDescent="0.3">
      <c r="A31" s="6">
        <v>29</v>
      </c>
      <c r="B31" s="5" t="s">
        <v>29</v>
      </c>
      <c r="C31" s="5"/>
      <c r="D31" s="12"/>
      <c r="E31" s="13">
        <f>_xlfn.CEILING.MATH((3.6/4700),0.001)</f>
        <v>1E-3</v>
      </c>
      <c r="F31" s="13"/>
      <c r="G31" s="13"/>
      <c r="H31" s="13"/>
      <c r="I31" s="13">
        <f>_xlfn.CEILING.MATH((5.5/1000),0.001)</f>
        <v>6.0000000000000001E-3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</row>
    <row r="32" spans="1:20" ht="15.75" thickBot="1" x14ac:dyDescent="0.3">
      <c r="A32" s="6">
        <v>30</v>
      </c>
      <c r="B32" s="5" t="s">
        <v>30</v>
      </c>
      <c r="C32" s="5"/>
      <c r="D32" s="12"/>
      <c r="E32" s="13">
        <f>_xlfn.CEILING.MATH((3.6/4700),0.001)</f>
        <v>1E-3</v>
      </c>
      <c r="F32" s="13"/>
      <c r="G32" s="13"/>
      <c r="H32" s="13"/>
      <c r="I32" s="13">
        <f t="shared" ref="I32:I33" si="2">_xlfn.CEILING.MATH((5.5/1000),0.001)</f>
        <v>6.0000000000000001E-3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4"/>
    </row>
    <row r="33" spans="1:20" ht="15.75" thickBot="1" x14ac:dyDescent="0.3">
      <c r="A33" s="6">
        <v>31</v>
      </c>
      <c r="B33" s="5" t="s">
        <v>31</v>
      </c>
      <c r="C33" s="5"/>
      <c r="D33" s="12"/>
      <c r="E33" s="13">
        <f>_xlfn.CEILING.MATH((3.6/4700),0.001)</f>
        <v>1E-3</v>
      </c>
      <c r="F33" s="13"/>
      <c r="G33" s="13"/>
      <c r="H33" s="13"/>
      <c r="I33" s="13">
        <f t="shared" si="2"/>
        <v>6.0000000000000001E-3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4"/>
    </row>
    <row r="34" spans="1:20" ht="15.75" thickBot="1" x14ac:dyDescent="0.3">
      <c r="A34" s="6">
        <v>32</v>
      </c>
      <c r="B34" s="5" t="s">
        <v>32</v>
      </c>
      <c r="C34" s="5"/>
      <c r="D34" s="12"/>
      <c r="E34" s="13"/>
      <c r="F34" s="13">
        <f>_xlfn.CEILING.MATH((3.6/4700),0.001)</f>
        <v>1E-3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>
        <f>_xlfn.CEILING.MATH(25/4000, 0.001)</f>
        <v>7.0000000000000001E-3</v>
      </c>
      <c r="T34" s="14"/>
    </row>
    <row r="35" spans="1:20" ht="15.75" thickBot="1" x14ac:dyDescent="0.3">
      <c r="A35" s="6">
        <v>33</v>
      </c>
      <c r="B35" s="5" t="s">
        <v>33</v>
      </c>
      <c r="C35" s="5"/>
      <c r="D35" s="12"/>
      <c r="E35" s="13"/>
      <c r="F35" s="13">
        <f t="shared" ref="F35:F41" si="3">_xlfn.CEILING.MATH((3.6/4700),0.001)</f>
        <v>1E-3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>
        <f t="shared" ref="S35:S41" si="4">_xlfn.CEILING.MATH(25/4000, 0.001)</f>
        <v>7.0000000000000001E-3</v>
      </c>
      <c r="T35" s="14"/>
    </row>
    <row r="36" spans="1:20" ht="15.75" thickBot="1" x14ac:dyDescent="0.3">
      <c r="A36" s="6">
        <v>34</v>
      </c>
      <c r="B36" s="5" t="s">
        <v>34</v>
      </c>
      <c r="C36" s="5"/>
      <c r="D36" s="12"/>
      <c r="E36" s="13"/>
      <c r="F36" s="13">
        <f t="shared" si="3"/>
        <v>1E-3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>
        <f t="shared" si="4"/>
        <v>7.0000000000000001E-3</v>
      </c>
      <c r="T36" s="14"/>
    </row>
    <row r="37" spans="1:20" ht="15.75" thickBot="1" x14ac:dyDescent="0.3">
      <c r="A37" s="6">
        <v>35</v>
      </c>
      <c r="B37" s="5" t="s">
        <v>35</v>
      </c>
      <c r="C37" s="5"/>
      <c r="D37" s="12"/>
      <c r="E37" s="13"/>
      <c r="F37" s="13">
        <f t="shared" si="3"/>
        <v>1E-3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>
        <f t="shared" si="4"/>
        <v>7.0000000000000001E-3</v>
      </c>
      <c r="T37" s="14"/>
    </row>
    <row r="38" spans="1:20" ht="15.75" thickBot="1" x14ac:dyDescent="0.3">
      <c r="A38" s="6">
        <v>36</v>
      </c>
      <c r="B38" s="5" t="s">
        <v>36</v>
      </c>
      <c r="C38" s="5"/>
      <c r="D38" s="12"/>
      <c r="E38" s="13"/>
      <c r="F38" s="13">
        <f t="shared" si="3"/>
        <v>1E-3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f t="shared" si="4"/>
        <v>7.0000000000000001E-3</v>
      </c>
      <c r="T38" s="14"/>
    </row>
    <row r="39" spans="1:20" ht="15.75" thickBot="1" x14ac:dyDescent="0.3">
      <c r="A39" s="6">
        <v>37</v>
      </c>
      <c r="B39" s="5" t="s">
        <v>37</v>
      </c>
      <c r="C39" s="5"/>
      <c r="D39" s="12"/>
      <c r="E39" s="13"/>
      <c r="F39" s="13">
        <f t="shared" si="3"/>
        <v>1E-3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>
        <f t="shared" si="4"/>
        <v>7.0000000000000001E-3</v>
      </c>
      <c r="T39" s="14"/>
    </row>
    <row r="40" spans="1:20" ht="15.75" thickBot="1" x14ac:dyDescent="0.3">
      <c r="A40" s="6">
        <v>38</v>
      </c>
      <c r="B40" s="5" t="s">
        <v>38</v>
      </c>
      <c r="C40" s="5"/>
      <c r="D40" s="12"/>
      <c r="E40" s="13"/>
      <c r="F40" s="13">
        <f t="shared" si="3"/>
        <v>1E-3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>
        <f t="shared" si="4"/>
        <v>7.0000000000000001E-3</v>
      </c>
      <c r="T40" s="14"/>
    </row>
    <row r="41" spans="1:20" ht="15.75" thickBot="1" x14ac:dyDescent="0.3">
      <c r="A41" s="6">
        <v>39</v>
      </c>
      <c r="B41" s="5" t="s">
        <v>39</v>
      </c>
      <c r="C41" s="5"/>
      <c r="D41" s="12"/>
      <c r="E41" s="13"/>
      <c r="F41" s="13">
        <f t="shared" si="3"/>
        <v>1E-3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>
        <f t="shared" si="4"/>
        <v>7.0000000000000001E-3</v>
      </c>
      <c r="T41" s="14"/>
    </row>
    <row r="42" spans="1:20" s="2" customFormat="1" ht="15.75" thickBot="1" x14ac:dyDescent="0.3">
      <c r="A42" s="19">
        <v>40</v>
      </c>
      <c r="B42" s="9" t="s">
        <v>40</v>
      </c>
      <c r="C42" s="9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2"/>
    </row>
    <row r="43" spans="1:20" ht="15.75" thickBot="1" x14ac:dyDescent="0.3">
      <c r="A43" s="6">
        <v>41</v>
      </c>
      <c r="B43" s="5" t="s">
        <v>41</v>
      </c>
      <c r="C43" s="5"/>
      <c r="D43" s="12"/>
      <c r="E43" s="13">
        <f>_xlfn.CEILING.MATH(4*(3.6/4700)+2*0.001, 0.001)</f>
        <v>6.0000000000000001E-3</v>
      </c>
      <c r="F43" s="13"/>
      <c r="G43" s="13"/>
      <c r="H43" s="13"/>
      <c r="I43" s="13"/>
      <c r="J43" s="13"/>
      <c r="K43" s="13"/>
      <c r="L43" s="13"/>
      <c r="M43" s="13">
        <f>_xlfn.CEILING.MATH(4*(3.6/400)+0.0015, 0.001)</f>
        <v>3.7999999999999999E-2</v>
      </c>
      <c r="N43" s="13"/>
      <c r="O43" s="13"/>
      <c r="P43" s="13"/>
      <c r="Q43" s="13"/>
      <c r="R43" s="13"/>
      <c r="S43" s="13"/>
      <c r="T43" s="14"/>
    </row>
    <row r="44" spans="1:20" ht="15.75" thickBot="1" x14ac:dyDescent="0.3">
      <c r="A44" s="6">
        <v>42</v>
      </c>
      <c r="B44" s="5" t="s">
        <v>42</v>
      </c>
      <c r="C44" s="5"/>
      <c r="D44" s="12"/>
      <c r="E44" s="13">
        <f>_xlfn.CEILING.MATH(6*(3.6/4700)+3*0.001, 0.001)</f>
        <v>8.0000000000000002E-3</v>
      </c>
      <c r="F44" s="13"/>
      <c r="G44" s="13"/>
      <c r="H44" s="13"/>
      <c r="I44" s="13"/>
      <c r="J44" s="13"/>
      <c r="K44" s="13"/>
      <c r="L44" s="13"/>
      <c r="M44" s="13">
        <f>_xlfn.CEILING.MATH(6*(3.6/400)+0.0015, 0.001)</f>
        <v>5.6000000000000001E-2</v>
      </c>
      <c r="N44" s="13"/>
      <c r="O44" s="13"/>
      <c r="P44" s="13"/>
      <c r="Q44" s="13"/>
      <c r="R44" s="13"/>
      <c r="S44" s="13"/>
      <c r="T44" s="14"/>
    </row>
    <row r="45" spans="1:20" ht="15.75" thickBot="1" x14ac:dyDescent="0.3">
      <c r="A45" s="6">
        <v>43</v>
      </c>
      <c r="B45" s="5" t="s">
        <v>43</v>
      </c>
      <c r="C45" s="5"/>
      <c r="D45" s="12"/>
      <c r="E45" s="13"/>
      <c r="F45" s="13"/>
      <c r="G45" s="13"/>
      <c r="H45" s="13"/>
      <c r="I45" s="13"/>
      <c r="J45" s="18">
        <f>_xlfn.CEILING.MATH(0.012,0.001)</f>
        <v>1.2E-2</v>
      </c>
      <c r="K45" s="13"/>
      <c r="L45" s="13"/>
      <c r="M45" s="13"/>
      <c r="N45" s="18">
        <f>_xlfn.CEILING.MATH(0.01,0.001)</f>
        <v>0.01</v>
      </c>
      <c r="O45" s="13"/>
      <c r="P45" s="13"/>
      <c r="Q45" s="13"/>
      <c r="R45" s="13"/>
      <c r="S45" s="13"/>
      <c r="T45" s="14"/>
    </row>
    <row r="46" spans="1:20" ht="15.75" thickBot="1" x14ac:dyDescent="0.3">
      <c r="A46" s="6">
        <v>44</v>
      </c>
      <c r="B46" s="5" t="s">
        <v>44</v>
      </c>
      <c r="C46" s="5"/>
      <c r="D46" s="12"/>
      <c r="E46" s="13"/>
      <c r="F46" s="13"/>
      <c r="G46" s="13"/>
      <c r="H46" s="13"/>
      <c r="I46" s="13"/>
      <c r="J46" s="13"/>
      <c r="K46" s="18">
        <f>_xlfn.CEILING.MATH(0.014,0.001)</f>
        <v>1.4E-2</v>
      </c>
      <c r="L46" s="13"/>
      <c r="M46" s="13"/>
      <c r="N46" s="13"/>
      <c r="O46" s="13"/>
      <c r="P46" s="13"/>
      <c r="Q46" s="13"/>
      <c r="R46" s="13"/>
      <c r="S46" s="13"/>
      <c r="T46" s="14"/>
    </row>
    <row r="47" spans="1:20" ht="15.75" thickBot="1" x14ac:dyDescent="0.3">
      <c r="A47" s="6">
        <v>45</v>
      </c>
      <c r="B47" s="5" t="s">
        <v>45</v>
      </c>
      <c r="C47" s="5"/>
      <c r="D47" s="12"/>
      <c r="E47" s="13"/>
      <c r="F47" s="13"/>
      <c r="G47" s="13"/>
      <c r="H47" s="13"/>
      <c r="I47" s="13"/>
      <c r="J47" s="13"/>
      <c r="K47" s="13"/>
      <c r="L47" s="18">
        <f>_xlfn.CEILING.MATH(0.012,0.001)</f>
        <v>1.2E-2</v>
      </c>
      <c r="M47" s="13"/>
      <c r="N47" s="13"/>
      <c r="O47" s="18">
        <f>_xlfn.CEILING.MATH(0.01,0.001)</f>
        <v>0.01</v>
      </c>
      <c r="P47" s="13"/>
      <c r="Q47" s="13"/>
      <c r="R47" s="13"/>
      <c r="S47" s="13"/>
      <c r="T47" s="14"/>
    </row>
    <row r="48" spans="1:20" ht="15.75" thickBot="1" x14ac:dyDescent="0.3">
      <c r="A48" s="6">
        <v>46</v>
      </c>
      <c r="B48" s="5" t="s">
        <v>46</v>
      </c>
      <c r="C48" s="5"/>
      <c r="D48" s="12"/>
      <c r="E48" s="13"/>
      <c r="F48" s="13"/>
      <c r="G48" s="13"/>
      <c r="H48" s="13"/>
      <c r="I48" s="13"/>
      <c r="J48" s="13"/>
      <c r="K48" s="18">
        <f>_xlfn.CEILING.MATH(0.014,0.001)</f>
        <v>1.4E-2</v>
      </c>
      <c r="L48" s="13"/>
      <c r="M48" s="13"/>
      <c r="N48" s="13"/>
      <c r="O48" s="13"/>
      <c r="P48" s="13"/>
      <c r="Q48" s="13"/>
      <c r="R48" s="13"/>
      <c r="S48" s="13"/>
      <c r="T48" s="14"/>
    </row>
    <row r="49" spans="1:20" ht="15.75" thickBot="1" x14ac:dyDescent="0.3">
      <c r="A49" s="6">
        <v>47</v>
      </c>
      <c r="B49" s="5" t="s">
        <v>47</v>
      </c>
      <c r="C49" s="5"/>
      <c r="D49" s="12"/>
      <c r="E49" s="13"/>
      <c r="F49" s="13"/>
      <c r="G49" s="13"/>
      <c r="H49" s="13"/>
      <c r="I49" s="13"/>
      <c r="J49" s="13"/>
      <c r="K49" s="18">
        <f>_xlfn.CEILING.MATH(0.014,0.001)</f>
        <v>1.4E-2</v>
      </c>
      <c r="L49" s="13"/>
      <c r="M49" s="13"/>
      <c r="N49" s="13"/>
      <c r="O49" s="13"/>
      <c r="P49" s="13"/>
      <c r="Q49" s="13"/>
      <c r="R49" s="13"/>
      <c r="S49" s="13"/>
      <c r="T49" s="14"/>
    </row>
    <row r="50" spans="1:20" ht="15.75" thickBot="1" x14ac:dyDescent="0.3">
      <c r="A50" s="6">
        <v>48</v>
      </c>
      <c r="B50" s="5" t="s">
        <v>48</v>
      </c>
      <c r="C50" s="5"/>
      <c r="D50" s="12"/>
      <c r="E50" s="13"/>
      <c r="F50" s="13"/>
      <c r="G50" s="13"/>
      <c r="H50" s="13"/>
      <c r="I50" s="13"/>
      <c r="J50" s="13"/>
      <c r="K50" s="18">
        <f>_xlfn.CEILING.MATH(0.014,0.001)</f>
        <v>1.4E-2</v>
      </c>
      <c r="L50" s="13"/>
      <c r="M50" s="13"/>
      <c r="N50" s="13"/>
      <c r="O50" s="13"/>
      <c r="P50" s="13"/>
      <c r="Q50" s="13"/>
      <c r="R50" s="13"/>
      <c r="S50" s="13"/>
      <c r="T50" s="14"/>
    </row>
    <row r="51" spans="1:20" ht="15.75" thickBot="1" x14ac:dyDescent="0.3">
      <c r="A51" s="6">
        <v>49</v>
      </c>
      <c r="B51" s="5" t="s">
        <v>49</v>
      </c>
      <c r="C51" s="5"/>
      <c r="D51" s="12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8">
        <f>_xlfn.CEILING.MATH(0.012,0.001)</f>
        <v>1.2E-2</v>
      </c>
      <c r="Q51" s="13"/>
      <c r="R51" s="13"/>
      <c r="S51" s="13"/>
      <c r="T51" s="14"/>
    </row>
    <row r="52" spans="1:20" ht="15.75" thickBot="1" x14ac:dyDescent="0.3">
      <c r="A52" s="6">
        <v>50</v>
      </c>
      <c r="B52" s="5" t="s">
        <v>50</v>
      </c>
      <c r="C52" s="5"/>
      <c r="D52" s="12"/>
      <c r="E52" s="13">
        <f>_xlfn.CEILING.MATH(0.0025+2*0.001, 0.001)</f>
        <v>5.0000000000000001E-3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4"/>
    </row>
    <row r="53" spans="1:20" ht="15.75" thickBot="1" x14ac:dyDescent="0.3">
      <c r="A53" s="6">
        <v>51</v>
      </c>
      <c r="B53" s="5" t="s">
        <v>51</v>
      </c>
      <c r="C53" s="5"/>
      <c r="D53" s="12"/>
      <c r="E53" s="13"/>
      <c r="F53" s="13"/>
      <c r="G53" s="13"/>
      <c r="H53" s="13"/>
      <c r="I53" s="13"/>
      <c r="J53" s="13"/>
      <c r="K53" s="13">
        <f>_xlfn.CEILING.MATH(3*(3.6/4700)+0.001+0.0025,0.001)</f>
        <v>6.0000000000000001E-3</v>
      </c>
      <c r="L53" s="13"/>
      <c r="M53" s="13"/>
      <c r="N53" s="13"/>
      <c r="O53" s="13"/>
      <c r="P53" s="13"/>
      <c r="Q53" s="13"/>
      <c r="R53" s="13"/>
      <c r="S53" s="13"/>
      <c r="T53" s="14"/>
    </row>
    <row r="54" spans="1:20" ht="15.75" thickBot="1" x14ac:dyDescent="0.3">
      <c r="A54" s="6">
        <v>52</v>
      </c>
      <c r="B54" s="5" t="s">
        <v>52</v>
      </c>
      <c r="C54" s="5"/>
      <c r="D54" s="12"/>
      <c r="E54" s="13"/>
      <c r="F54" s="13"/>
      <c r="G54" s="13"/>
      <c r="H54" s="13"/>
      <c r="I54" s="13"/>
      <c r="J54" s="13"/>
      <c r="K54" s="13">
        <f>_xlfn.CEILING.MATH(5*(3.6/4700)+0.001+0.0025,0.001)</f>
        <v>8.0000000000000002E-3</v>
      </c>
      <c r="L54" s="13"/>
      <c r="M54" s="13"/>
      <c r="N54" s="13"/>
      <c r="O54" s="13"/>
      <c r="P54" s="13"/>
      <c r="Q54" s="13"/>
      <c r="R54" s="13"/>
      <c r="S54" s="13"/>
      <c r="T54" s="14"/>
    </row>
    <row r="55" spans="1:20" ht="15.75" thickBot="1" x14ac:dyDescent="0.3">
      <c r="A55" s="6">
        <v>53</v>
      </c>
      <c r="B55" s="5" t="s">
        <v>53</v>
      </c>
      <c r="C55" s="5"/>
      <c r="D55" s="12"/>
      <c r="E55" s="13"/>
      <c r="F55" s="13"/>
      <c r="G55" s="13"/>
      <c r="H55" s="13"/>
      <c r="I55" s="13"/>
      <c r="J55" s="13"/>
      <c r="K55" s="13">
        <f>_xlfn.CEILING.MATH(3*(3.6/4700)+0.001+3*0.0025,0.001)</f>
        <v>1.0999999999999999E-2</v>
      </c>
      <c r="L55" s="13"/>
      <c r="M55" s="13"/>
      <c r="N55" s="13"/>
      <c r="O55" s="13"/>
      <c r="P55" s="13"/>
      <c r="Q55" s="13"/>
      <c r="R55" s="13"/>
      <c r="S55" s="13"/>
      <c r="T55" s="14"/>
    </row>
    <row r="56" spans="1:20" ht="15.75" thickBot="1" x14ac:dyDescent="0.3">
      <c r="A56" s="6">
        <v>54</v>
      </c>
      <c r="B56" s="5" t="s">
        <v>54</v>
      </c>
      <c r="C56" s="5"/>
      <c r="D56" s="12"/>
      <c r="E56" s="13"/>
      <c r="F56" s="13"/>
      <c r="G56" s="18">
        <f>_xlfn.CEILING.MATH(0.012,0.001)</f>
        <v>1.2E-2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4"/>
    </row>
    <row r="57" spans="1:20" ht="15.75" thickBot="1" x14ac:dyDescent="0.3">
      <c r="A57" s="6">
        <v>55</v>
      </c>
      <c r="B57" s="5" t="s">
        <v>55</v>
      </c>
      <c r="C57" s="5"/>
      <c r="D57" s="12"/>
      <c r="E57" s="13">
        <f>_xlfn.CEILING.MATH(0.0025+2*0.001, 0.001)</f>
        <v>5.0000000000000001E-3</v>
      </c>
      <c r="F57" s="13"/>
      <c r="G57" s="13"/>
      <c r="H57" s="13"/>
      <c r="I57" s="13"/>
      <c r="J57" s="13"/>
      <c r="K57" s="13">
        <f>_xlfn.CEILING.MATH((3.6/3300),0.001)</f>
        <v>2E-3</v>
      </c>
      <c r="L57" s="13"/>
      <c r="M57" s="13"/>
      <c r="N57" s="13"/>
      <c r="O57" s="13"/>
      <c r="P57" s="13"/>
      <c r="Q57" s="13"/>
      <c r="R57" s="13"/>
      <c r="S57" s="13"/>
      <c r="T57" s="14"/>
    </row>
    <row r="58" spans="1:20" ht="15.75" thickBot="1" x14ac:dyDescent="0.3">
      <c r="A58" s="6">
        <v>56</v>
      </c>
      <c r="B58" s="5" t="s">
        <v>56</v>
      </c>
      <c r="C58" s="5"/>
      <c r="D58" s="12"/>
      <c r="E58" s="13"/>
      <c r="F58" s="13">
        <f>_xlfn.CEILING.MATH((3.6/4700)+2*0.001,0.001)</f>
        <v>3.0000000000000001E-3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4"/>
    </row>
    <row r="59" spans="1:20" ht="15.75" thickBot="1" x14ac:dyDescent="0.3">
      <c r="A59" s="6">
        <v>57</v>
      </c>
      <c r="B59" s="5" t="s">
        <v>57</v>
      </c>
      <c r="C59" s="5"/>
      <c r="D59" s="12"/>
      <c r="E59" s="13"/>
      <c r="F59" s="13">
        <f>_xlfn.CEILING.MATH((3.6/4700)+2*0.001,0.001)</f>
        <v>3.0000000000000001E-3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4"/>
    </row>
    <row r="60" spans="1:20" ht="15.75" thickBot="1" x14ac:dyDescent="0.3">
      <c r="A60" s="6">
        <v>58</v>
      </c>
      <c r="B60" s="23" t="s">
        <v>79</v>
      </c>
      <c r="C60" s="23">
        <f>_xlfn.CEILING.MATH(T60*32, 0.1)</f>
        <v>2</v>
      </c>
      <c r="D60" s="12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7">
        <f>SUM(T4:T59)+SUM(T61:T82)</f>
        <v>6.0999999999999999E-2</v>
      </c>
    </row>
    <row r="61" spans="1:20" ht="15.75" thickBot="1" x14ac:dyDescent="0.3">
      <c r="A61" s="6">
        <v>59</v>
      </c>
      <c r="B61" s="23" t="s">
        <v>78</v>
      </c>
      <c r="C61" s="23">
        <f>_xlfn.CEILING.MATH(S61*25, 0.1)</f>
        <v>34.4</v>
      </c>
      <c r="D61" s="12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7">
        <f>SUM(S4:S59)+SUM(S62:S83)</f>
        <v>1.375</v>
      </c>
      <c r="T61" s="14"/>
    </row>
    <row r="62" spans="1:20" ht="15.75" thickBot="1" x14ac:dyDescent="0.3">
      <c r="A62" s="6">
        <v>60</v>
      </c>
      <c r="B62" s="23" t="s">
        <v>58</v>
      </c>
      <c r="C62" s="23">
        <f>_xlfn.CEILING.MATH(R62*15*1.1, 0.1)</f>
        <v>0.1</v>
      </c>
      <c r="D62" s="1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7">
        <f>SUM(R4:R61)+SUM(R63:R83)</f>
        <v>4.0000000000000001E-3</v>
      </c>
      <c r="S62" s="13">
        <f>_xlfn.CEILING.MATH((15*1.1*(R62+0.001)/0.5)/(24*0.9),0.001)</f>
        <v>8.0000000000000002E-3</v>
      </c>
      <c r="T62" s="14"/>
    </row>
    <row r="63" spans="1:20" ht="15.75" thickBot="1" x14ac:dyDescent="0.3">
      <c r="A63" s="6">
        <v>61</v>
      </c>
      <c r="B63" s="23" t="s">
        <v>59</v>
      </c>
      <c r="C63" s="23">
        <f>_xlfn.CEILING.MATH(Q63*15*1.1, 0.1)</f>
        <v>2.3000000000000003</v>
      </c>
      <c r="D63" s="12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7">
        <f>SUM(Q4:Q62)+SUM(Q64:Q83)</f>
        <v>0.13499999999999998</v>
      </c>
      <c r="R63" s="13"/>
      <c r="S63" s="13">
        <f>_xlfn.CEILING.MATH((15*1.1*(Q63+0.03)/0.8)/(24*0.9),0.001)</f>
        <v>0.158</v>
      </c>
      <c r="T63" s="14"/>
    </row>
    <row r="64" spans="1:20" ht="15.75" thickBot="1" x14ac:dyDescent="0.3">
      <c r="A64" s="6">
        <v>62</v>
      </c>
      <c r="B64" s="23" t="s">
        <v>60</v>
      </c>
      <c r="C64" s="23">
        <f>_xlfn.CEILING.MATH(P64*5*1.1, 0.1)</f>
        <v>0.1</v>
      </c>
      <c r="D64" s="1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7">
        <f>SUM(P4:P63)+SUM(P65:P83)</f>
        <v>1.2E-2</v>
      </c>
      <c r="Q64" s="13">
        <f>_xlfn.CEILING.MATH(P64+0.003,0.001)</f>
        <v>1.4999999999999999E-2</v>
      </c>
      <c r="R64" s="13"/>
      <c r="S64" s="13"/>
      <c r="T64" s="14"/>
    </row>
    <row r="65" spans="1:20" ht="15.75" thickBot="1" x14ac:dyDescent="0.3">
      <c r="A65" s="6">
        <v>63</v>
      </c>
      <c r="B65" s="23" t="s">
        <v>61</v>
      </c>
      <c r="C65" s="23">
        <f>_xlfn.CEILING.MATH(O65*5*1.1, 0.1)</f>
        <v>0.9</v>
      </c>
      <c r="D65" s="1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7">
        <f>SUM(O4:O64)+SUM(O66:O83)</f>
        <v>0.15200000000000002</v>
      </c>
      <c r="P65" s="13"/>
      <c r="Q65" s="13"/>
      <c r="R65" s="13"/>
      <c r="S65" s="13">
        <f>_xlfn.CEILING.MATH((5*1.1*(O65+0.001)/0.5)/(24*0.9),0.001)</f>
        <v>7.8E-2</v>
      </c>
      <c r="T65" s="14"/>
    </row>
    <row r="66" spans="1:20" ht="15.75" thickBot="1" x14ac:dyDescent="0.3">
      <c r="A66" s="6">
        <v>64</v>
      </c>
      <c r="B66" s="23" t="s">
        <v>62</v>
      </c>
      <c r="C66" s="23">
        <f>_xlfn.CEILING.MATH(N66*5*1.1, 0.1)</f>
        <v>0.30000000000000004</v>
      </c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7">
        <f>SUM(N4:N65)+SUM(N67:N83)</f>
        <v>4.4000000000000004E-2</v>
      </c>
      <c r="O66" s="13"/>
      <c r="P66" s="13"/>
      <c r="Q66" s="13"/>
      <c r="R66" s="13"/>
      <c r="S66" s="13">
        <f>_xlfn.CEILING.MATH((5*1.1*(N66+0.001)/0.5)/(24*0.9),0.001)</f>
        <v>2.3E-2</v>
      </c>
      <c r="T66" s="14"/>
    </row>
    <row r="67" spans="1:20" ht="15.75" thickBot="1" x14ac:dyDescent="0.3">
      <c r="A67" s="6">
        <v>65</v>
      </c>
      <c r="B67" s="23" t="s">
        <v>63</v>
      </c>
      <c r="C67" s="23">
        <f>_xlfn.CEILING.MATH(M67*5*1.1, 0.1)</f>
        <v>4.2</v>
      </c>
      <c r="D67" s="12"/>
      <c r="E67" s="13"/>
      <c r="F67" s="13"/>
      <c r="G67" s="13"/>
      <c r="H67" s="13"/>
      <c r="I67" s="13"/>
      <c r="J67" s="13"/>
      <c r="K67" s="13"/>
      <c r="L67" s="13"/>
      <c r="M67" s="17">
        <f>SUM(M4:M66)+SUM(M68:M83)</f>
        <v>0.752</v>
      </c>
      <c r="N67" s="13"/>
      <c r="O67" s="13"/>
      <c r="P67" s="13"/>
      <c r="Q67" s="13"/>
      <c r="R67" s="13"/>
      <c r="S67" s="13">
        <f>_xlfn.CEILING.MATH((5*1.1*(M67+0.001)/0.8)/(24*0.9),0.001)</f>
        <v>0.24</v>
      </c>
      <c r="T67" s="14"/>
    </row>
    <row r="68" spans="1:20" ht="15.75" thickBot="1" x14ac:dyDescent="0.3">
      <c r="A68" s="6">
        <v>66</v>
      </c>
      <c r="B68" s="23" t="s">
        <v>64</v>
      </c>
      <c r="C68" s="23">
        <f>_xlfn.CEILING.MATH(L68*5*1.1, 0.1)</f>
        <v>0.1</v>
      </c>
      <c r="D68" s="12"/>
      <c r="E68" s="13"/>
      <c r="F68" s="13"/>
      <c r="G68" s="13"/>
      <c r="H68" s="13"/>
      <c r="I68" s="13"/>
      <c r="J68" s="13"/>
      <c r="K68" s="13"/>
      <c r="L68" s="17">
        <f>SUM(L4:L67)+SUM(L69:L83)</f>
        <v>1.2E-2</v>
      </c>
      <c r="M68" s="13"/>
      <c r="N68" s="13"/>
      <c r="O68" s="13">
        <f>_xlfn.CEILING.MATH(L68/0.7+0.001,0.001)</f>
        <v>1.9E-2</v>
      </c>
      <c r="P68" s="13"/>
      <c r="Q68" s="13"/>
      <c r="R68" s="13"/>
      <c r="S68" s="13"/>
      <c r="T68" s="14"/>
    </row>
    <row r="69" spans="1:20" ht="15.75" thickBot="1" x14ac:dyDescent="0.3">
      <c r="A69" s="6">
        <v>67</v>
      </c>
      <c r="B69" s="23" t="s">
        <v>65</v>
      </c>
      <c r="C69" s="23">
        <f>_xlfn.CEILING.MATH(K69*3.3*1.1, 0.1)</f>
        <v>0.4</v>
      </c>
      <c r="D69" s="12"/>
      <c r="E69" s="13"/>
      <c r="F69" s="13"/>
      <c r="G69" s="13"/>
      <c r="H69" s="13"/>
      <c r="I69" s="13"/>
      <c r="J69" s="13"/>
      <c r="K69" s="17">
        <f>SUM(K4:K68)+SUM(K70:K83)</f>
        <v>8.3000000000000004E-2</v>
      </c>
      <c r="L69" s="13"/>
      <c r="M69" s="13"/>
      <c r="N69" s="13"/>
      <c r="O69" s="13">
        <f>_xlfn.CEILING.MATH((3.3*1.1*(K69+0.001)/0.8)/(5*0.9),0.001)</f>
        <v>8.5000000000000006E-2</v>
      </c>
      <c r="P69" s="13"/>
      <c r="Q69" s="13"/>
      <c r="R69" s="13"/>
      <c r="S69" s="13"/>
      <c r="T69" s="14"/>
    </row>
    <row r="70" spans="1:20" ht="15.75" thickBot="1" x14ac:dyDescent="0.3">
      <c r="A70" s="6">
        <v>68</v>
      </c>
      <c r="B70" s="5" t="s">
        <v>66</v>
      </c>
      <c r="C70" s="5"/>
      <c r="D70" s="1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>
        <f>_xlfn.CEILING.MATH(9*(5.5/3300)+0.003,0.001)</f>
        <v>1.8000000000000002E-2</v>
      </c>
      <c r="P70" s="13"/>
      <c r="Q70" s="13"/>
      <c r="R70" s="13"/>
      <c r="S70" s="13"/>
      <c r="T70" s="14"/>
    </row>
    <row r="71" spans="1:20" ht="15.75" thickBot="1" x14ac:dyDescent="0.3">
      <c r="A71" s="6">
        <v>69</v>
      </c>
      <c r="B71" s="5" t="s">
        <v>67</v>
      </c>
      <c r="C71" s="5"/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>
        <f>_xlfn.CEILING.MATH(0.001+0.003,0.001)</f>
        <v>4.0000000000000001E-3</v>
      </c>
      <c r="P71" s="13"/>
      <c r="Q71" s="13"/>
      <c r="R71" s="13"/>
      <c r="S71" s="13"/>
      <c r="T71" s="14"/>
    </row>
    <row r="72" spans="1:20" ht="15.75" thickBot="1" x14ac:dyDescent="0.3">
      <c r="A72" s="6">
        <v>70</v>
      </c>
      <c r="B72" s="5" t="s">
        <v>68</v>
      </c>
      <c r="C72" s="5"/>
      <c r="D72" s="1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>
        <f>_xlfn.CEILING.MATH(4*(5.5/2000)+0.003,0.001)</f>
        <v>1.4E-2</v>
      </c>
      <c r="P72" s="13"/>
      <c r="Q72" s="13"/>
      <c r="R72" s="13"/>
      <c r="S72" s="13"/>
      <c r="T72" s="14"/>
    </row>
    <row r="73" spans="1:20" ht="15.75" thickBot="1" x14ac:dyDescent="0.3">
      <c r="A73" s="6">
        <v>71</v>
      </c>
      <c r="B73" s="23" t="s">
        <v>69</v>
      </c>
      <c r="C73" s="23">
        <f>_xlfn.CEILING.MATH(J73*5*1.1, 0.1)</f>
        <v>0.1</v>
      </c>
      <c r="D73" s="12"/>
      <c r="E73" s="13"/>
      <c r="F73" s="13"/>
      <c r="G73" s="13"/>
      <c r="H73" s="13"/>
      <c r="I73" s="13"/>
      <c r="J73" s="17">
        <f>SUM(J4:J72)+SUM(J74:J83)</f>
        <v>1.2E-2</v>
      </c>
      <c r="K73" s="13"/>
      <c r="L73" s="13"/>
      <c r="M73" s="13"/>
      <c r="N73" s="13">
        <f>_xlfn.CEILING.MATH(J73/0.7,0.001)</f>
        <v>1.8000000000000002E-2</v>
      </c>
      <c r="O73" s="13"/>
      <c r="P73" s="13"/>
      <c r="Q73" s="13"/>
      <c r="R73" s="13"/>
      <c r="S73" s="13"/>
      <c r="T73" s="14"/>
    </row>
    <row r="74" spans="1:20" ht="15.75" thickBot="1" x14ac:dyDescent="0.3">
      <c r="A74" s="6">
        <v>72</v>
      </c>
      <c r="B74" s="5" t="s">
        <v>70</v>
      </c>
      <c r="C74" s="5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>
        <f>_xlfn.CEILING.MATH((5.5/375)+0.001,0.001)</f>
        <v>1.6E-2</v>
      </c>
      <c r="O74" s="13"/>
      <c r="P74" s="13"/>
      <c r="Q74" s="13"/>
      <c r="R74" s="13"/>
      <c r="S74" s="13"/>
      <c r="T74" s="14"/>
    </row>
    <row r="75" spans="1:20" ht="15.75" thickBot="1" x14ac:dyDescent="0.3">
      <c r="A75" s="6">
        <v>73</v>
      </c>
      <c r="B75" s="5" t="s">
        <v>77</v>
      </c>
      <c r="C75" s="5"/>
      <c r="D75" s="12"/>
      <c r="E75" s="13"/>
      <c r="F75" s="13"/>
      <c r="G75" s="13"/>
      <c r="H75" s="13"/>
      <c r="I75" s="13"/>
      <c r="J75" s="13"/>
      <c r="K75" s="13"/>
      <c r="L75" s="13"/>
      <c r="M75" s="13">
        <f>_xlfn.CEILING.MATH(2*(5.5/3300)+0.003,0.001)</f>
        <v>7.0000000000000001E-3</v>
      </c>
      <c r="N75" s="13"/>
      <c r="O75" s="13"/>
      <c r="P75" s="13"/>
      <c r="Q75" s="13"/>
      <c r="R75" s="13"/>
      <c r="S75" s="13"/>
      <c r="T75" s="14"/>
    </row>
    <row r="76" spans="1:20" ht="15.75" thickBot="1" x14ac:dyDescent="0.3">
      <c r="A76" s="6">
        <v>74</v>
      </c>
      <c r="B76" s="23" t="s">
        <v>86</v>
      </c>
      <c r="C76" s="23">
        <f>_xlfn.CEILING.MATH(I76*5*1.1, 0.1)</f>
        <v>0.30000000000000004</v>
      </c>
      <c r="D76" s="12"/>
      <c r="E76" s="13"/>
      <c r="F76" s="13"/>
      <c r="G76" s="13"/>
      <c r="H76" s="13"/>
      <c r="I76" s="17">
        <f>SUM(I4:I75)+SUM(I77:I83)</f>
        <v>4.4999999999999998E-2</v>
      </c>
      <c r="J76" s="13"/>
      <c r="K76" s="13"/>
      <c r="L76" s="13"/>
      <c r="M76" s="13">
        <f>_xlfn.CEILING.MATH(I76/0.7,0.001)</f>
        <v>6.5000000000000002E-2</v>
      </c>
      <c r="N76" s="13"/>
      <c r="O76" s="13"/>
      <c r="P76" s="13"/>
      <c r="Q76" s="13"/>
      <c r="R76" s="13"/>
      <c r="S76" s="13"/>
      <c r="T76" s="14"/>
    </row>
    <row r="77" spans="1:20" ht="15.75" thickBot="1" x14ac:dyDescent="0.3">
      <c r="A77" s="6">
        <v>75</v>
      </c>
      <c r="B77" s="23" t="s">
        <v>87</v>
      </c>
      <c r="C77" s="23">
        <f>_xlfn.CEILING.MATH(H77*5*1.1, 0.1)</f>
        <v>0.5</v>
      </c>
      <c r="D77" s="12"/>
      <c r="E77" s="13"/>
      <c r="F77" s="13"/>
      <c r="G77" s="13"/>
      <c r="H77" s="17">
        <f>SUM(H4:H76)+SUM(H78:H83)</f>
        <v>8.5000000000000006E-2</v>
      </c>
      <c r="I77" s="13"/>
      <c r="J77" s="13"/>
      <c r="K77" s="13"/>
      <c r="L77" s="13"/>
      <c r="M77" s="13">
        <f>_xlfn.CEILING.MATH(H77/0.7,0.001)</f>
        <v>0.122</v>
      </c>
      <c r="N77" s="13"/>
      <c r="O77" s="13"/>
      <c r="P77" s="13"/>
      <c r="Q77" s="13"/>
      <c r="R77" s="13"/>
      <c r="S77" s="13"/>
      <c r="T77" s="14"/>
    </row>
    <row r="78" spans="1:20" ht="15.75" thickBot="1" x14ac:dyDescent="0.3">
      <c r="A78" s="6">
        <v>76</v>
      </c>
      <c r="B78" s="23" t="s">
        <v>71</v>
      </c>
      <c r="C78" s="23">
        <f>_xlfn.CEILING.MATH(G78*5*1.1, 0.1)</f>
        <v>0.1</v>
      </c>
      <c r="D78" s="12"/>
      <c r="E78" s="13"/>
      <c r="F78" s="13"/>
      <c r="G78" s="17">
        <f>SUM(G4:G76)</f>
        <v>1.2E-2</v>
      </c>
      <c r="H78" s="13"/>
      <c r="I78" s="13"/>
      <c r="J78" s="13"/>
      <c r="K78" s="13"/>
      <c r="L78" s="13"/>
      <c r="M78" s="13">
        <f>_xlfn.CEILING.MATH(G78/0.7,0.001)</f>
        <v>1.8000000000000002E-2</v>
      </c>
      <c r="N78" s="13"/>
      <c r="O78" s="13"/>
      <c r="P78" s="13"/>
      <c r="Q78" s="13"/>
      <c r="R78" s="13"/>
      <c r="S78" s="13"/>
      <c r="T78" s="14"/>
    </row>
    <row r="79" spans="1:20" ht="15.75" thickBot="1" x14ac:dyDescent="0.3">
      <c r="A79" s="6">
        <v>77</v>
      </c>
      <c r="B79" s="23" t="s">
        <v>72</v>
      </c>
      <c r="C79" s="23">
        <f>_xlfn.CEILING.MATH(F79*3.3*1.1, 0.1)</f>
        <v>0.2</v>
      </c>
      <c r="D79" s="12"/>
      <c r="E79" s="13"/>
      <c r="F79" s="17">
        <f>SUM(F4:F78)</f>
        <v>4.0000000000000015E-2</v>
      </c>
      <c r="G79" s="13"/>
      <c r="H79" s="13"/>
      <c r="I79" s="13"/>
      <c r="J79" s="13"/>
      <c r="K79" s="13"/>
      <c r="L79" s="13"/>
      <c r="M79" s="13">
        <f>_xlfn.CEILING.MATH((3.3*1.1*(F79+0.001)/0.8)/(5*0.9),0.001)</f>
        <v>4.2000000000000003E-2</v>
      </c>
      <c r="N79" s="13"/>
      <c r="O79" s="13"/>
      <c r="P79" s="13"/>
      <c r="Q79" s="13"/>
      <c r="R79" s="13"/>
      <c r="S79" s="13"/>
      <c r="T79" s="14"/>
    </row>
    <row r="80" spans="1:20" ht="15.75" thickBot="1" x14ac:dyDescent="0.3">
      <c r="A80" s="6">
        <v>78</v>
      </c>
      <c r="B80" s="23" t="s">
        <v>73</v>
      </c>
      <c r="C80" s="23">
        <f>_xlfn.CEILING.MATH(E80*3.3*1.1, 0.1)</f>
        <v>0.60000000000000009</v>
      </c>
      <c r="D80" s="15"/>
      <c r="E80" s="17">
        <f>SUM(E4:E79)+E81</f>
        <v>0.13800000000000004</v>
      </c>
      <c r="F80" s="13"/>
      <c r="G80" s="13"/>
      <c r="H80" s="13"/>
      <c r="I80" s="13"/>
      <c r="J80" s="13"/>
      <c r="K80" s="13"/>
      <c r="L80" s="13"/>
      <c r="M80" s="13">
        <f>_xlfn.CEILING.MATH((3.3*1.1*(E80+0.001)/0.8)/(5*0.9),0.001)</f>
        <v>0.14100000000000001</v>
      </c>
      <c r="N80" s="13"/>
      <c r="O80" s="13"/>
      <c r="P80" s="13"/>
      <c r="Q80" s="13"/>
      <c r="R80" s="13"/>
      <c r="S80" s="13"/>
      <c r="T80" s="14"/>
    </row>
    <row r="81" spans="1:20" ht="15.75" thickBot="1" x14ac:dyDescent="0.3">
      <c r="A81" s="6">
        <v>79</v>
      </c>
      <c r="B81" s="24" t="s">
        <v>74</v>
      </c>
      <c r="C81" s="23">
        <f>_xlfn.CEILING.MATH(D81*1.2*1.1, 0.1)</f>
        <v>0.4</v>
      </c>
      <c r="D81" s="16">
        <f>SUM(D4:D80)</f>
        <v>0.25</v>
      </c>
      <c r="E81" s="13">
        <f>_xlfn.CEILING.MATH(0.001, 0.001)</f>
        <v>1E-3</v>
      </c>
      <c r="F81" s="13"/>
      <c r="G81" s="13"/>
      <c r="H81" s="13"/>
      <c r="I81" s="13"/>
      <c r="J81" s="13"/>
      <c r="K81" s="13"/>
      <c r="L81" s="13"/>
      <c r="M81" s="13">
        <f>_xlfn.CEILING.MATH((1.2*1.1*(D81+0.001)/0.8)/(5*0.9),0.001)</f>
        <v>9.2999999999999999E-2</v>
      </c>
      <c r="N81" s="13"/>
      <c r="O81" s="13"/>
      <c r="P81" s="13"/>
      <c r="Q81" s="13"/>
      <c r="R81" s="13"/>
      <c r="S81" s="13"/>
      <c r="T81" s="14"/>
    </row>
    <row r="82" spans="1:20" ht="15.75" thickBot="1" x14ac:dyDescent="0.3">
      <c r="A82" s="6">
        <v>80</v>
      </c>
      <c r="B82" s="26" t="s">
        <v>80</v>
      </c>
      <c r="C82" s="5"/>
      <c r="D82" s="12"/>
      <c r="E82" s="13"/>
      <c r="F82" s="13"/>
      <c r="G82" s="13"/>
      <c r="H82" s="18">
        <v>8.5000000000000006E-2</v>
      </c>
      <c r="I82" s="18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4"/>
    </row>
    <row r="83" spans="1:20" ht="15.75" thickBot="1" x14ac:dyDescent="0.3">
      <c r="A83" s="6">
        <v>81</v>
      </c>
      <c r="B83" s="5" t="s">
        <v>88</v>
      </c>
      <c r="C83" s="5"/>
      <c r="D83" s="12"/>
      <c r="E83" s="13"/>
      <c r="F83" s="13"/>
      <c r="G83" s="13"/>
      <c r="H83" s="18"/>
      <c r="I83" s="18">
        <f>_xlfn.CEILING.MATH((3*0.009),0.001)</f>
        <v>2.7E-2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4"/>
    </row>
    <row r="84" spans="1:20" ht="15.75" hidden="1" thickBot="1" x14ac:dyDescent="0.3">
      <c r="A84" s="6"/>
      <c r="B84" s="26" t="s">
        <v>1</v>
      </c>
      <c r="C84" s="5"/>
      <c r="D84" s="12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4"/>
    </row>
  </sheetData>
  <mergeCells count="1">
    <mergeCell ref="D2:T2"/>
  </mergeCells>
  <pageMargins left="0.25" right="0.25" top="0.75" bottom="0.75" header="0.3" footer="0.3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Преобразователи электропитаний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Садыков Константин Валерьевич</dc:creator>
  <cp:lastModifiedBy>Мараховский Александр Владимирович</cp:lastModifiedBy>
  <cp:lastPrinted>2026-06-30T13:49:41Z</cp:lastPrinted>
  <dcterms:created xsi:type="dcterms:W3CDTF">2026-05-26T13:37:45Z</dcterms:created>
  <dcterms:modified xsi:type="dcterms:W3CDTF">2026-07-06T05:57:38Z</dcterms:modified>
</cp:coreProperties>
</file>